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Loan Info" sheetId="2" r:id="rId1"/>
  </sheets>
  <calcPr calcId="144525"/>
</workbook>
</file>

<file path=xl/sharedStrings.xml><?xml version="1.0" encoding="utf-8"?>
<sst xmlns="http://schemas.openxmlformats.org/spreadsheetml/2006/main" count="208" uniqueCount="126">
  <si>
    <t>Property Address</t>
  </si>
  <si>
    <t>City</t>
  </si>
  <si>
    <t>State</t>
  </si>
  <si>
    <t>Zip</t>
  </si>
  <si>
    <t>Borrower</t>
  </si>
  <si>
    <t>Target Close Date</t>
  </si>
  <si>
    <t>Purchase price</t>
  </si>
  <si>
    <t>Loan Maturity Date (1st)</t>
  </si>
  <si>
    <t>Est. Closing Funds</t>
  </si>
  <si>
    <t>Target Lender</t>
  </si>
  <si>
    <t>Loan Type</t>
  </si>
  <si>
    <t>Estimated loan Amt</t>
  </si>
  <si>
    <t>1st Loan Amount（Include Rehab Loan）</t>
  </si>
  <si>
    <t>Existing Rate (1st)</t>
  </si>
  <si>
    <t>Refi Lender</t>
  </si>
  <si>
    <t>Pricing</t>
  </si>
  <si>
    <t>Loan Status Updates</t>
  </si>
  <si>
    <t>Meeting Notes</t>
  </si>
  <si>
    <t>编号</t>
  </si>
  <si>
    <t>#</t>
  </si>
  <si>
    <t>share</t>
  </si>
  <si>
    <t>Action List</t>
  </si>
  <si>
    <t>Current Loan Type</t>
  </si>
  <si>
    <t>Existing Lender (1st)</t>
  </si>
  <si>
    <t>Rehab Loan(1st）</t>
  </si>
  <si>
    <t>Original Contract Date</t>
  </si>
  <si>
    <t>Extension Date</t>
  </si>
  <si>
    <t>Loan Processor (Person )</t>
  </si>
  <si>
    <t>Purchase Date</t>
  </si>
  <si>
    <t>Refi Loan Type</t>
  </si>
  <si>
    <t>Owner</t>
  </si>
  <si>
    <t>Business Line</t>
  </si>
  <si>
    <t>Loan Status</t>
  </si>
  <si>
    <t>1545 Murdell Lane</t>
  </si>
  <si>
    <t>Livermore</t>
  </si>
  <si>
    <t>CA</t>
  </si>
  <si>
    <t>94550</t>
  </si>
  <si>
    <t>Huing Tran (GenNext Properties LLC)</t>
  </si>
  <si>
    <t>Purchase pending</t>
  </si>
  <si>
    <t>10012 N Foothill Blvd</t>
  </si>
  <si>
    <t>Cupertino</t>
  </si>
  <si>
    <t>95014</t>
  </si>
  <si>
    <t>Storyrd LLC to KK</t>
  </si>
  <si>
    <t>Tellus</t>
  </si>
  <si>
    <t>purchase</t>
  </si>
  <si>
    <t>10.09% 0.5% 12m/4m IR</t>
  </si>
  <si>
    <t>8/8/25 - Wired closing fund 
8/7/25 - Schedule signing
8/6/25 - Loan docs in escrow/Buyer closing statement
7/29 - Confirm Loan with Tellus</t>
  </si>
  <si>
    <t>8/11/2025 - closed
8/4/2025 - 下周一close
7/28/25 - 目前只能Tellus，期望match office的10%/0%，预计明天出结果
7/21/25 - 已换title，这周开始做loan
7/14/25 - 改title的addendum等签字
7/7/25 - 改title到KK
6/30/25 - EMD已打，storyrd不在我们名下，需要确认贷款怎么贷，title要改KK</t>
  </si>
  <si>
    <t>Storyrd LLC</t>
  </si>
  <si>
    <t>1161 S Stelling Road</t>
  </si>
  <si>
    <t>GenNext Properties LLC</t>
  </si>
  <si>
    <t>Conventus</t>
  </si>
  <si>
    <t>7.5%/0.25% 0% 15m</t>
  </si>
  <si>
    <t>7/15/25 - Loan docs in escrow. Ready to sign. Hold on for tenant issue
7/11/25 - confirm appraisal approved.
6/25/25 - Submitted Loan Application</t>
  </si>
  <si>
    <t>8/11/2025 - 这周五close，loan docs已出周三签字
8/4/2025 - 可以准时close
7/28/25 - addendum $3000（让租客早点搬出去的费用）谁出？wholesaler出还是我们出，需和acquisition确认
7/21/25 - 租客七月底之前没法搬走，extension到了8/15，delivery vacant
7/14/25 - CV：appraisal已回lender也都已经approve ，等close
7/7/25 - 正在CV做贷款，新进合同记得做POA
6/30/25 - 月底close</t>
  </si>
  <si>
    <t>Alera Homes</t>
  </si>
  <si>
    <t>816 Marilyn Dr</t>
  </si>
  <si>
    <t>Campbell</t>
  </si>
  <si>
    <t>95008</t>
  </si>
  <si>
    <t>purchase, Rehab</t>
  </si>
  <si>
    <t>7.5%/0.25% 0% 12m</t>
  </si>
  <si>
    <t>8/5/25 - Loan docs in escrow
7/30/25 - LOI rcvd
7/23/25 - Proceed loan with CV/send all info to lender
7/22/25 - quote loan with CV/send requested info to CV</t>
  </si>
  <si>
    <t>8/11/2025 -这周五close，loan docs已出周三签字
8/4/2025 - appraisal value可以，能按时close
7/28/25 - 等schedule appraisal
7/21/25 - EMD已打，开始quote loan和insurance</t>
  </si>
  <si>
    <t>11101 S Stelling Rd</t>
  </si>
  <si>
    <t>Kellogg &amp; Kay LLC to Oakspire Holdings LLC</t>
  </si>
  <si>
    <t xml:space="preserve">7/24/25 - Appraisal appointment 
7/16/25 - change title addendum, contact info and docs sent to CV
7/15/25 - change title new LLC docs sent
7/11/25 - apply loan </t>
  </si>
  <si>
    <t>8/11/2025 - Thompson做个SB9账。pending value
8/4/2025 - appraisal value不行，等回复comps
7/28/25 - appraisal已做预计后天出report，延到8/20/25 close
7/21/25 - 已转title，待约appraisal
7/14/25 - CV在quote，改title addendum已发给listing agent签字</t>
  </si>
  <si>
    <t>Kellogg &amp; Kay LLC</t>
  </si>
  <si>
    <t>79 Deodora Dr</t>
  </si>
  <si>
    <t>Atherton</t>
  </si>
  <si>
    <t>94027</t>
  </si>
  <si>
    <t>7A Holdings LLC to KK</t>
  </si>
  <si>
    <t>7/30/25 - Appraisal fee paid
7/28/25 - Proceed loan with CV</t>
  </si>
  <si>
    <t>8/11/2025 - 10% downpayment用KK的钱，申请下来先不还。KK的账尽快做。
8/4/2025 - hold 10%loan value for internal inspection，10%用KK downpayment的方式付
7/28/25 - 今天remove了contingency，等改title的addendum签字，CV开始做loan
7/21/25 - 待转title，等contingency remove了再弄addendum
7/14/25 - 等改KK，新建SFR；8.0%以下就用其他lender（CV和Archwest，1年bridge+1年New construction，downpay20%，看下loan amount先），tellus预估8.5%</t>
  </si>
  <si>
    <t>7A Holdings LLC</t>
  </si>
  <si>
    <t>884 San Simeon Dr</t>
  </si>
  <si>
    <t>Mountain View</t>
  </si>
  <si>
    <t>94043</t>
  </si>
  <si>
    <t>90% of purchase price, 100% of rehab
7.75%/0pt.//$1,500 loan processing fee/12mo term and 3mo minimum interest PPP</t>
  </si>
  <si>
    <t xml:space="preserve">7/25/25- Appraisal is in. Credit team prioritizing July closings due to August COE
7/23/25- Appraisal has been completed
7/16/25 - Send contact info and docs to lender
 7/10/25 - Submitted loan with Conventus </t>
  </si>
  <si>
    <t>8/11/2025 - loan docs已出周三签字
8/4/2025 - appraisal回了没问题
7/28/2025 -appraisal back，等close
7/21/2025 - appraisal 周三做
7/14/2025 - CV在做
6/30/2025 -  EMD明天准备打</t>
  </si>
  <si>
    <t>1374 Socorro Ave</t>
  </si>
  <si>
    <t>Sunnyvale</t>
  </si>
  <si>
    <t>94089</t>
  </si>
  <si>
    <t>8/11/2025 -今天新进合同，两周close，wholesale，但仍需要loan和insurance。</t>
  </si>
  <si>
    <t>2046 Camden Ave</t>
  </si>
  <si>
    <t>San Jose</t>
  </si>
  <si>
    <t>95124</t>
  </si>
  <si>
    <t>8/11/2025 -CV觉得这个land value比较大一点，所以没给我们正常的purchase bridge优惠rate，最后综合比较下来，还是archwest更好
8/4/2025 - 开始CV quote loan</t>
  </si>
  <si>
    <t>4467 Central Ave</t>
  </si>
  <si>
    <t>Fremont</t>
  </si>
  <si>
    <t>94536</t>
  </si>
  <si>
    <t>8/11/2025 - CV觉得这个land value比较大一点，所以没给我们正常的purchase bridge优惠rate，最后综合比较下来，还是archwest更好
8/4/2025 - 开始CV quote loan
7/14/25 -  等定下来需要change title</t>
  </si>
  <si>
    <t>Qingning Zeng</t>
  </si>
  <si>
    <t>Al Homes</t>
  </si>
  <si>
    <t>2042 Camden Ave</t>
  </si>
  <si>
    <t xml:space="preserve">8/11/2025 - </t>
  </si>
  <si>
    <t>988 &amp; 994 Sherwood Avenue and 4600 El &amp; 4636 El Camino Real</t>
  </si>
  <si>
    <t>Los Altos</t>
  </si>
  <si>
    <t>94022</t>
  </si>
  <si>
    <t>JulianMore LLC
Need to change to a new company</t>
  </si>
  <si>
    <t>8/11/2025 - seller financing，两个大概都500w，一个6.5%一个7%，1.5yr和2yr，都放在新公司，需要延到12月年底。80% seller financing rate at 7% for 24 month
6/30/25 - 可能改7A，并且可能延期。需要确认几个一起的地是否需要在同一个title上还是分开</t>
  </si>
  <si>
    <t>JulianMore LLC</t>
  </si>
  <si>
    <t>994 Acacia Ave, 1019 N San Antonio Rd, 1021 N San Antonio Rd, 991 N San Antonio Rd</t>
  </si>
  <si>
    <t>KirkAve LLC</t>
  </si>
  <si>
    <t>8/11/2025 - seller financing，83.33% ($5M) seller financing rate not exceed 6.5%
6/30/25 - 988&amp;994、994、987&amp;966、1019、1005都是一起的地</t>
  </si>
  <si>
    <t>1 Larch Dr</t>
  </si>
  <si>
    <t>8/11/2025 -上周五新进，deliver vacant，3个月close，先成立新公司。给：1. lu hu 2. 晨曦 2. KK</t>
  </si>
  <si>
    <t>4146 Mitzi Drive</t>
  </si>
  <si>
    <t>95117</t>
  </si>
  <si>
    <t xml:space="preserve">Bright Bay Homes LLC </t>
  </si>
  <si>
    <t>Corevest</t>
  </si>
  <si>
    <t>8/11/2025 -
6/23/25 - 在quote loan了
5/12/25 -APN的事 @Jia Li</t>
  </si>
  <si>
    <t>Mychellin</t>
  </si>
  <si>
    <t>Rate-term refi</t>
  </si>
  <si>
    <t>Bright Bay Homes LLC</t>
  </si>
  <si>
    <t>15148 Camden Ave</t>
  </si>
  <si>
    <t>8/11/2025 -
6/30/25 - prelim在等，NHD已收到</t>
  </si>
  <si>
    <t>Fallon Rd</t>
  </si>
  <si>
    <t>Dublin</t>
  </si>
  <si>
    <t>94568</t>
  </si>
  <si>
    <t>Synergy Industrial Partners LLC</t>
  </si>
  <si>
    <t>8/11/2025 -</t>
  </si>
  <si>
    <t>2130 Dry Creek Rd</t>
  </si>
  <si>
    <t>JulianMore LLC to
7A Holdings LLC</t>
  </si>
  <si>
    <t>8/11/2025 -
5/19/25 - 目前只收到CV报价
04/28/25 - 可能给Nancy？美玲姐，Wendy姐和xiaoxiao一起看下资金安排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</si>
</sst>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yy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EE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"/>
  <sheetViews>
    <sheetView tabSelected="1" workbookViewId="0">
      <selection activeCell="AH1" sqref="AH$1:CC$1048576"/>
    </sheetView>
  </sheetViews>
  <sheetFormatPr defaultColWidth="9" defaultRowHeight="14.25"/>
  <cols>
    <col min="1" max="1" width="19" customWidth="1"/>
    <col min="2" max="4" width="9" customWidth="1"/>
    <col min="5" max="7" width="19" customWidth="1"/>
    <col min="8" max="8" width="25.875" customWidth="1"/>
    <col min="9" max="9" width="29.25" customWidth="1"/>
    <col min="10" max="12" width="19" customWidth="1"/>
    <col min="13" max="15" width="9" hidden="1" customWidth="1"/>
    <col min="16" max="18" width="19" customWidth="1"/>
    <col min="19" max="21" width="9" hidden="1" customWidth="1"/>
    <col min="22" max="22" width="19" customWidth="1"/>
    <col min="23" max="23" width="9" hidden="1" customWidth="1"/>
    <col min="24" max="29" width="19" customWidth="1"/>
    <col min="30" max="30" width="9" hidden="1" customWidth="1"/>
    <col min="31" max="32" width="19" customWidth="1"/>
    <col min="33" max="33" width="9" hidden="1" customWidth="1"/>
  </cols>
  <sheetData>
    <row r="1" ht="13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38.25" customHeight="1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s="2">
        <v>45868</v>
      </c>
      <c r="G2">
        <v>551800</v>
      </c>
      <c r="H2" s="2"/>
      <c r="Z2" s="2"/>
      <c r="AC2" s="2">
        <v>45868</v>
      </c>
      <c r="AE2" t="s">
        <v>37</v>
      </c>
      <c r="AG2" t="s">
        <v>38</v>
      </c>
    </row>
    <row r="3" ht="38.25" customHeight="1" spans="1:33">
      <c r="A3" t="s">
        <v>39</v>
      </c>
      <c r="B3" t="s">
        <v>40</v>
      </c>
      <c r="C3" t="s">
        <v>35</v>
      </c>
      <c r="D3" t="s">
        <v>41</v>
      </c>
      <c r="E3" t="s">
        <v>42</v>
      </c>
      <c r="F3" s="2">
        <v>45880</v>
      </c>
      <c r="G3">
        <v>1775000</v>
      </c>
      <c r="H3" s="2"/>
      <c r="I3">
        <v>240000</v>
      </c>
      <c r="J3" t="s">
        <v>43</v>
      </c>
      <c r="K3" t="s">
        <v>44</v>
      </c>
      <c r="L3">
        <v>1575000</v>
      </c>
      <c r="P3" t="s">
        <v>45</v>
      </c>
      <c r="Q3" t="s">
        <v>46</v>
      </c>
      <c r="R3" t="s">
        <v>47</v>
      </c>
      <c r="Z3" s="2"/>
      <c r="AC3" s="2">
        <v>45880</v>
      </c>
      <c r="AE3" t="s">
        <v>48</v>
      </c>
      <c r="AG3" t="s">
        <v>38</v>
      </c>
    </row>
    <row r="4" ht="38.25" customHeight="1" spans="1:33">
      <c r="A4" t="s">
        <v>49</v>
      </c>
      <c r="B4" t="s">
        <v>40</v>
      </c>
      <c r="C4" t="s">
        <v>35</v>
      </c>
      <c r="D4" t="s">
        <v>41</v>
      </c>
      <c r="E4" t="s">
        <v>50</v>
      </c>
      <c r="F4" s="2">
        <v>45884</v>
      </c>
      <c r="G4">
        <v>2050000</v>
      </c>
      <c r="H4" s="2"/>
      <c r="I4">
        <v>170000</v>
      </c>
      <c r="J4" t="s">
        <v>51</v>
      </c>
      <c r="K4" t="s">
        <v>44</v>
      </c>
      <c r="L4">
        <v>1845000</v>
      </c>
      <c r="P4" t="s">
        <v>52</v>
      </c>
      <c r="Q4" t="s">
        <v>53</v>
      </c>
      <c r="R4" t="s">
        <v>54</v>
      </c>
      <c r="Z4" s="2"/>
      <c r="AC4" s="2">
        <v>45868</v>
      </c>
      <c r="AE4" t="s">
        <v>50</v>
      </c>
      <c r="AF4" t="s">
        <v>55</v>
      </c>
      <c r="AG4" t="s">
        <v>38</v>
      </c>
    </row>
    <row r="5" ht="38.25" customHeight="1" spans="1:33">
      <c r="A5" t="s">
        <v>56</v>
      </c>
      <c r="B5" t="s">
        <v>57</v>
      </c>
      <c r="C5" t="s">
        <v>35</v>
      </c>
      <c r="D5" t="s">
        <v>58</v>
      </c>
      <c r="E5" t="s">
        <v>50</v>
      </c>
      <c r="F5" s="2">
        <v>45884</v>
      </c>
      <c r="G5">
        <v>1550000</v>
      </c>
      <c r="H5" s="2"/>
      <c r="I5">
        <v>140000</v>
      </c>
      <c r="J5" t="s">
        <v>51</v>
      </c>
      <c r="K5" t="s">
        <v>59</v>
      </c>
      <c r="L5">
        <v>1395000</v>
      </c>
      <c r="P5" t="s">
        <v>60</v>
      </c>
      <c r="Q5" t="s">
        <v>61</v>
      </c>
      <c r="R5" t="s">
        <v>62</v>
      </c>
      <c r="Y5">
        <v>100000</v>
      </c>
      <c r="Z5" s="2"/>
      <c r="AC5" s="2">
        <v>45884</v>
      </c>
      <c r="AE5" t="s">
        <v>50</v>
      </c>
      <c r="AG5" t="s">
        <v>38</v>
      </c>
    </row>
    <row r="6" ht="38.25" customHeight="1" spans="1:33">
      <c r="A6" t="s">
        <v>63</v>
      </c>
      <c r="B6" t="s">
        <v>40</v>
      </c>
      <c r="C6" t="s">
        <v>35</v>
      </c>
      <c r="D6" t="s">
        <v>41</v>
      </c>
      <c r="E6" t="s">
        <v>64</v>
      </c>
      <c r="F6" s="2">
        <v>45889</v>
      </c>
      <c r="G6">
        <v>3200000</v>
      </c>
      <c r="H6" s="2"/>
      <c r="J6" t="s">
        <v>51</v>
      </c>
      <c r="Q6" t="s">
        <v>65</v>
      </c>
      <c r="R6" t="s">
        <v>66</v>
      </c>
      <c r="Z6" s="2"/>
      <c r="AC6" s="2">
        <v>45873</v>
      </c>
      <c r="AE6" t="s">
        <v>67</v>
      </c>
      <c r="AG6" t="s">
        <v>38</v>
      </c>
    </row>
    <row r="7" ht="38.25" customHeight="1" spans="1:33">
      <c r="A7" t="s">
        <v>68</v>
      </c>
      <c r="B7" t="s">
        <v>69</v>
      </c>
      <c r="C7" t="s">
        <v>35</v>
      </c>
      <c r="D7" t="s">
        <v>70</v>
      </c>
      <c r="E7" t="s">
        <v>71</v>
      </c>
      <c r="F7" s="2">
        <v>45894</v>
      </c>
      <c r="G7">
        <v>7000000</v>
      </c>
      <c r="H7" s="2"/>
      <c r="J7" t="s">
        <v>51</v>
      </c>
      <c r="Q7" t="s">
        <v>72</v>
      </c>
      <c r="R7" t="s">
        <v>73</v>
      </c>
      <c r="Z7" s="2"/>
      <c r="AC7" s="2">
        <v>45894</v>
      </c>
      <c r="AE7" t="s">
        <v>74</v>
      </c>
      <c r="AG7" t="s">
        <v>38</v>
      </c>
    </row>
    <row r="8" ht="38.25" customHeight="1" spans="1:33">
      <c r="A8" t="s">
        <v>75</v>
      </c>
      <c r="B8" t="s">
        <v>76</v>
      </c>
      <c r="C8" t="s">
        <v>35</v>
      </c>
      <c r="D8" t="s">
        <v>77</v>
      </c>
      <c r="E8" t="s">
        <v>50</v>
      </c>
      <c r="F8" s="2">
        <v>45895</v>
      </c>
      <c r="G8">
        <v>2000000</v>
      </c>
      <c r="H8" s="2"/>
      <c r="J8" t="s">
        <v>51</v>
      </c>
      <c r="P8" t="s">
        <v>78</v>
      </c>
      <c r="Q8" t="s">
        <v>79</v>
      </c>
      <c r="R8" t="s">
        <v>80</v>
      </c>
      <c r="Z8" s="2"/>
      <c r="AC8" s="2">
        <v>45896</v>
      </c>
      <c r="AE8" t="s">
        <v>50</v>
      </c>
      <c r="AG8" t="s">
        <v>38</v>
      </c>
    </row>
    <row r="9" ht="38.25" customHeight="1" spans="1:33">
      <c r="A9" t="s">
        <v>81</v>
      </c>
      <c r="B9" t="s">
        <v>82</v>
      </c>
      <c r="C9" t="s">
        <v>35</v>
      </c>
      <c r="D9" t="s">
        <v>83</v>
      </c>
      <c r="E9" t="s">
        <v>50</v>
      </c>
      <c r="F9" s="2">
        <v>45895</v>
      </c>
      <c r="G9">
        <v>1295000</v>
      </c>
      <c r="H9" s="2"/>
      <c r="R9" t="s">
        <v>84</v>
      </c>
      <c r="Z9" s="2"/>
      <c r="AC9" s="2">
        <v>45895</v>
      </c>
      <c r="AE9" t="s">
        <v>50</v>
      </c>
      <c r="AG9" t="s">
        <v>38</v>
      </c>
    </row>
    <row r="10" ht="38.25" customHeight="1" spans="1:33">
      <c r="A10" t="s">
        <v>85</v>
      </c>
      <c r="B10" t="s">
        <v>86</v>
      </c>
      <c r="C10" t="s">
        <v>35</v>
      </c>
      <c r="D10" t="s">
        <v>87</v>
      </c>
      <c r="E10" t="s">
        <v>67</v>
      </c>
      <c r="F10" s="2">
        <v>45901</v>
      </c>
      <c r="G10">
        <v>2100000</v>
      </c>
      <c r="H10" s="2"/>
      <c r="R10" t="s">
        <v>88</v>
      </c>
      <c r="Z10" s="2"/>
      <c r="AC10" s="2">
        <v>45901</v>
      </c>
      <c r="AE10" t="s">
        <v>67</v>
      </c>
      <c r="AG10" t="s">
        <v>38</v>
      </c>
    </row>
    <row r="11" ht="38.25" customHeight="1" spans="1:33">
      <c r="A11" t="s">
        <v>89</v>
      </c>
      <c r="B11" t="s">
        <v>90</v>
      </c>
      <c r="C11" t="s">
        <v>35</v>
      </c>
      <c r="D11" t="s">
        <v>91</v>
      </c>
      <c r="E11" t="s">
        <v>74</v>
      </c>
      <c r="F11" s="2">
        <v>45910</v>
      </c>
      <c r="G11">
        <v>2550000</v>
      </c>
      <c r="H11" s="2"/>
      <c r="R11" t="s">
        <v>92</v>
      </c>
      <c r="Z11" s="2"/>
      <c r="AB11" t="s">
        <v>93</v>
      </c>
      <c r="AC11" s="2">
        <v>45910</v>
      </c>
      <c r="AE11" t="s">
        <v>74</v>
      </c>
      <c r="AF11" t="s">
        <v>94</v>
      </c>
      <c r="AG11" t="s">
        <v>38</v>
      </c>
    </row>
    <row r="12" ht="38.25" customHeight="1" spans="1:33">
      <c r="A12" t="s">
        <v>95</v>
      </c>
      <c r="B12" t="s">
        <v>86</v>
      </c>
      <c r="C12" t="s">
        <v>35</v>
      </c>
      <c r="D12" t="s">
        <v>87</v>
      </c>
      <c r="E12" t="s">
        <v>67</v>
      </c>
      <c r="F12" s="2">
        <v>45929</v>
      </c>
      <c r="G12">
        <v>2100000</v>
      </c>
      <c r="H12" s="2"/>
      <c r="R12" t="s">
        <v>96</v>
      </c>
      <c r="Z12" s="2"/>
      <c r="AC12" s="2">
        <v>45929</v>
      </c>
      <c r="AE12" t="s">
        <v>67</v>
      </c>
      <c r="AG12" t="s">
        <v>38</v>
      </c>
    </row>
    <row r="13" ht="38.25" customHeight="1" spans="1:33">
      <c r="A13" t="s">
        <v>97</v>
      </c>
      <c r="B13" t="s">
        <v>98</v>
      </c>
      <c r="C13" t="s">
        <v>35</v>
      </c>
      <c r="D13" t="s">
        <v>99</v>
      </c>
      <c r="E13" t="s">
        <v>100</v>
      </c>
      <c r="F13" s="2">
        <v>45931</v>
      </c>
      <c r="G13">
        <v>6100000</v>
      </c>
      <c r="H13" s="2"/>
      <c r="R13" t="s">
        <v>101</v>
      </c>
      <c r="Z13" s="2"/>
      <c r="AC13" s="2">
        <v>45940</v>
      </c>
      <c r="AE13" t="s">
        <v>102</v>
      </c>
      <c r="AF13" t="s">
        <v>94</v>
      </c>
      <c r="AG13" t="s">
        <v>38</v>
      </c>
    </row>
    <row r="14" ht="38.25" customHeight="1" spans="1:33">
      <c r="A14" t="s">
        <v>103</v>
      </c>
      <c r="B14" t="s">
        <v>98</v>
      </c>
      <c r="C14" t="s">
        <v>35</v>
      </c>
      <c r="D14" t="s">
        <v>99</v>
      </c>
      <c r="E14" t="s">
        <v>104</v>
      </c>
      <c r="F14" s="2">
        <v>45951</v>
      </c>
      <c r="G14">
        <v>6000000</v>
      </c>
      <c r="H14" s="2"/>
      <c r="R14" t="s">
        <v>105</v>
      </c>
      <c r="Z14" s="2"/>
      <c r="AC14" s="2">
        <v>45951</v>
      </c>
      <c r="AE14" t="s">
        <v>104</v>
      </c>
      <c r="AF14" t="s">
        <v>94</v>
      </c>
      <c r="AG14" t="s">
        <v>38</v>
      </c>
    </row>
    <row r="15" ht="38.25" customHeight="1" spans="1:33">
      <c r="A15" t="s">
        <v>106</v>
      </c>
      <c r="B15" t="s">
        <v>69</v>
      </c>
      <c r="C15" t="s">
        <v>35</v>
      </c>
      <c r="D15" t="s">
        <v>70</v>
      </c>
      <c r="E15" t="s">
        <v>67</v>
      </c>
      <c r="F15" s="2">
        <v>45966</v>
      </c>
      <c r="G15">
        <v>7300000</v>
      </c>
      <c r="H15" s="2"/>
      <c r="R15" t="s">
        <v>107</v>
      </c>
      <c r="Z15" s="2"/>
      <c r="AC15" s="2">
        <v>45966</v>
      </c>
      <c r="AE15" t="s">
        <v>67</v>
      </c>
      <c r="AG15" t="s">
        <v>38</v>
      </c>
    </row>
    <row r="16" ht="38.25" customHeight="1" spans="1:33">
      <c r="A16" t="s">
        <v>108</v>
      </c>
      <c r="B16" t="s">
        <v>86</v>
      </c>
      <c r="C16" t="s">
        <v>35</v>
      </c>
      <c r="D16" t="s">
        <v>109</v>
      </c>
      <c r="E16" t="s">
        <v>110</v>
      </c>
      <c r="F16" s="2">
        <v>45971</v>
      </c>
      <c r="G16">
        <v>4550000</v>
      </c>
      <c r="H16" s="2"/>
      <c r="J16" t="s">
        <v>111</v>
      </c>
      <c r="R16" t="s">
        <v>112</v>
      </c>
      <c r="Z16" s="2"/>
      <c r="AB16" t="s">
        <v>113</v>
      </c>
      <c r="AC16" s="2">
        <v>45868</v>
      </c>
      <c r="AD16" t="s">
        <v>114</v>
      </c>
      <c r="AE16" t="s">
        <v>115</v>
      </c>
      <c r="AF16" t="s">
        <v>94</v>
      </c>
      <c r="AG16" t="s">
        <v>38</v>
      </c>
    </row>
    <row r="17" ht="38.25" customHeight="1" spans="1:33">
      <c r="A17" t="s">
        <v>116</v>
      </c>
      <c r="B17" t="s">
        <v>86</v>
      </c>
      <c r="C17" t="s">
        <v>35</v>
      </c>
      <c r="D17" t="s">
        <v>87</v>
      </c>
      <c r="E17" t="s">
        <v>67</v>
      </c>
      <c r="F17" s="2">
        <v>46563</v>
      </c>
      <c r="G17">
        <v>2150000</v>
      </c>
      <c r="H17" s="2"/>
      <c r="R17" t="s">
        <v>117</v>
      </c>
      <c r="Z17" s="2"/>
      <c r="AC17" s="2">
        <v>46563</v>
      </c>
      <c r="AE17" t="s">
        <v>67</v>
      </c>
      <c r="AG17" t="s">
        <v>38</v>
      </c>
    </row>
    <row r="18" ht="38.25" customHeight="1" spans="1:33">
      <c r="A18" t="s">
        <v>118</v>
      </c>
      <c r="B18" t="s">
        <v>119</v>
      </c>
      <c r="C18" t="s">
        <v>35</v>
      </c>
      <c r="D18" t="s">
        <v>120</v>
      </c>
      <c r="E18" t="s">
        <v>121</v>
      </c>
      <c r="F18" s="2">
        <v>46783</v>
      </c>
      <c r="G18">
        <v>21091000</v>
      </c>
      <c r="H18" s="2"/>
      <c r="R18" t="s">
        <v>122</v>
      </c>
      <c r="Z18" s="2"/>
      <c r="AC18" s="2">
        <v>46783</v>
      </c>
      <c r="AE18" t="s">
        <v>121</v>
      </c>
      <c r="AF18" t="s">
        <v>94</v>
      </c>
      <c r="AG18" t="s">
        <v>38</v>
      </c>
    </row>
    <row r="19" ht="38.25" customHeight="1" spans="1:33">
      <c r="A19" t="s">
        <v>123</v>
      </c>
      <c r="B19" t="s">
        <v>86</v>
      </c>
      <c r="C19" t="s">
        <v>35</v>
      </c>
      <c r="D19" t="s">
        <v>87</v>
      </c>
      <c r="E19" t="s">
        <v>124</v>
      </c>
      <c r="F19" s="2"/>
      <c r="G19">
        <v>8600000</v>
      </c>
      <c r="H19" s="2"/>
      <c r="R19" t="s">
        <v>125</v>
      </c>
      <c r="Z19" s="2"/>
      <c r="AB19" t="s">
        <v>113</v>
      </c>
      <c r="AC19" s="2"/>
      <c r="AD19" t="s">
        <v>114</v>
      </c>
      <c r="AE19" t="s">
        <v>102</v>
      </c>
      <c r="AF19" t="s">
        <v>94</v>
      </c>
      <c r="AG19" t="s">
        <v>38</v>
      </c>
    </row>
  </sheetData>
  <conditionalFormatting sqref="I$1:I$1048576">
    <cfRule type="containsBlanks" dxfId="0" priority="1">
      <formula>LEN(TRIM(I1))=0</formula>
    </cfRule>
    <cfRule type="notContainsBlanks" dxfId="0" priority="2">
      <formula>LEN(TRIM(I1))&gt;0</formula>
    </cfRule>
  </conditionalFormatting>
  <dataValidations count="4">
    <dataValidation type="list" sqref="C2:C18">
      <formula1>"CA,SCA,AZ"</formula1>
    </dataValidation>
    <dataValidation type="list" sqref="O2:O18">
      <formula1>"Flipside,Conventus,Genesis,Anchor,Tellus,Archwest,Corevest,All Cash,ROCKET PRO,Emet,First Commercial"</formula1>
    </dataValidation>
    <dataValidation type="list" sqref="J2:J18">
      <formula1>"Anchor,Conventus,Archwest,Tellus,Genesis,Ascent,seller financing,Corevest,Flipside,TBD,First commercial bank,Procket PRO,EMET,4,893,750.00"</formula1>
    </dataValidation>
    <dataValidation type="list" sqref="AG2:AG18">
      <formula1>"Purchase pending,Refi quoting,Refi pending,Active,Closed,Canceled,Extension 1,On Hold,Rehab Pending,Construction Pending,02/19/2025,,,,Chun Yi,"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777</cp:lastModifiedBy>
  <dcterms:created xsi:type="dcterms:W3CDTF">2006-09-16T00:00:00Z</dcterms:created>
  <dcterms:modified xsi:type="dcterms:W3CDTF">2025-09-02T05:37:03Z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21CA5F374A774895923ADA0DCFE9B752</vt:lpwstr>
  </property>
  <property fmtid="{D5CDD505-2E9C-101B-9397-08002B2CF9AE}" pid="3" name="KSOProductBuildVer">
    <vt:lpwstr>2052-11.1.0.12165</vt:lpwstr>
  </property>
</Properties>
</file>